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whatsupp-utility-message\"/>
    </mc:Choice>
  </mc:AlternateContent>
  <xr:revisionPtr revIDLastSave="0" documentId="13_ncr:1_{4AD1073B-FFF2-4509-8836-156ABB5A9CEF}" xr6:coauthVersionLast="47" xr6:coauthVersionMax="47" xr10:uidLastSave="{00000000-0000-0000-0000-000000000000}"/>
  <bookViews>
    <workbookView xWindow="-108" yWindow="-108" windowWidth="23256" windowHeight="12576" activeTab="3" xr2:uid="{7E142B57-C7D5-4C3E-AC55-53521A278E1D}"/>
  </bookViews>
  <sheets>
    <sheet name="turni" sheetId="5" r:id="rId1"/>
    <sheet name="whatsapp" sheetId="7" r:id="rId2"/>
    <sheet name="riepilogo" sheetId="8" r:id="rId3"/>
    <sheet name="storico" sheetId="6" r:id="rId4"/>
    <sheet name="dati" sheetId="2" r:id="rId5"/>
  </sheets>
  <functionGroups builtInGroupCount="19"/>
  <definedNames>
    <definedName name="_xlnm._FilterDatabase" localSheetId="4" hidden="1">dati!$A$1:$D$17</definedName>
    <definedName name="Cucina">#REF!</definedName>
    <definedName name="Piatti">#REF!</definedName>
    <definedName name="Ricevimento">#REF!</definedName>
    <definedName name="Sala">#REF!</definedName>
  </definedName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8" i="5" l="1"/>
  <c r="G28" i="5"/>
  <c r="F28" i="5"/>
  <c r="E28" i="5"/>
  <c r="D28" i="5"/>
  <c r="C28" i="5"/>
  <c r="B28" i="5"/>
  <c r="H22" i="5"/>
  <c r="G22" i="5"/>
  <c r="F22" i="5"/>
  <c r="E22" i="5"/>
  <c r="D22" i="5"/>
  <c r="C22" i="5"/>
  <c r="B22" i="5"/>
  <c r="H15" i="5"/>
  <c r="G15" i="5"/>
  <c r="F15" i="5"/>
  <c r="E15" i="5"/>
  <c r="D15" i="5"/>
  <c r="C15" i="5"/>
  <c r="B15" i="5"/>
  <c r="H10" i="5"/>
  <c r="G10" i="5"/>
  <c r="F10" i="5"/>
  <c r="E10" i="5"/>
  <c r="D10" i="5"/>
  <c r="C10" i="5"/>
  <c r="B10" i="5"/>
  <c r="H4" i="5"/>
  <c r="G4" i="5"/>
  <c r="F4" i="5"/>
  <c r="E4" i="5"/>
  <c r="D4" i="5"/>
  <c r="C4" i="5"/>
  <c r="B4" i="5"/>
</calcChain>
</file>

<file path=xl/sharedStrings.xml><?xml version="1.0" encoding="utf-8"?>
<sst xmlns="http://schemas.openxmlformats.org/spreadsheetml/2006/main" count="213" uniqueCount="75">
  <si>
    <t>DIPENDENTE</t>
  </si>
  <si>
    <t>REPARTO</t>
  </si>
  <si>
    <t>Daniele</t>
  </si>
  <si>
    <t>Angela</t>
  </si>
  <si>
    <t>Margherita</t>
  </si>
  <si>
    <t>Vincenzo</t>
  </si>
  <si>
    <t>Domenico</t>
  </si>
  <si>
    <t>Ivana</t>
  </si>
  <si>
    <t>HR</t>
  </si>
  <si>
    <t>HSE</t>
  </si>
  <si>
    <t>Sala</t>
  </si>
  <si>
    <t>Cucina</t>
  </si>
  <si>
    <t>Piatti</t>
  </si>
  <si>
    <t>Lunedi</t>
  </si>
  <si>
    <t>Martedi</t>
  </si>
  <si>
    <t>Mercoledi</t>
  </si>
  <si>
    <t>Giovedi</t>
  </si>
  <si>
    <t>Venerdi</t>
  </si>
  <si>
    <t>Sabato</t>
  </si>
  <si>
    <t>Domenica</t>
  </si>
  <si>
    <t>Pranzo</t>
  </si>
  <si>
    <t>Cena</t>
  </si>
  <si>
    <t>Colazione</t>
  </si>
  <si>
    <t>Mattina</t>
  </si>
  <si>
    <t>Pomeriggio</t>
  </si>
  <si>
    <t>Notte</t>
  </si>
  <si>
    <t>09:30 - 13:30</t>
  </si>
  <si>
    <t>13:30 - 17:30</t>
  </si>
  <si>
    <t>393440111104</t>
  </si>
  <si>
    <t>19:30 - 23:00</t>
  </si>
  <si>
    <t>Centrale</t>
  </si>
  <si>
    <t>Reception</t>
  </si>
  <si>
    <t>CELLULARE WHATSAPP</t>
  </si>
  <si>
    <t>ALBERGO STANDARD</t>
  </si>
  <si>
    <t>Tiziano</t>
  </si>
  <si>
    <t>Sofia</t>
  </si>
  <si>
    <t>Emilio</t>
  </si>
  <si>
    <t>Teresa</t>
  </si>
  <si>
    <t>Mariana</t>
  </si>
  <si>
    <t>Francel</t>
  </si>
  <si>
    <t>Ornella</t>
  </si>
  <si>
    <t>Carmela</t>
  </si>
  <si>
    <t>Claudia</t>
  </si>
  <si>
    <t>Achille</t>
  </si>
  <si>
    <t>Andrea</t>
  </si>
  <si>
    <t>Assenze</t>
  </si>
  <si>
    <t>Riposo</t>
  </si>
  <si>
    <t>Ferie</t>
  </si>
  <si>
    <t>Data inizio settimana</t>
  </si>
  <si>
    <t>Angela  (HSE procura paletta)</t>
  </si>
  <si>
    <t xml:space="preserve"> ,   Domenico (HR ),  ,    Vincenzo  ,</t>
  </si>
  <si>
    <t>Malattia</t>
  </si>
  <si>
    <t>Ivana (tosse)</t>
  </si>
  <si>
    <t>Data</t>
  </si>
  <si>
    <t>Giorno</t>
  </si>
  <si>
    <t>Nome dipendente</t>
  </si>
  <si>
    <t>Reparto</t>
  </si>
  <si>
    <t>Orario</t>
  </si>
  <si>
    <t>Nota</t>
  </si>
  <si>
    <t>Nome</t>
  </si>
  <si>
    <t>Numero</t>
  </si>
  <si>
    <t>HSE procura paletta</t>
  </si>
  <si>
    <t>tosse</t>
  </si>
  <si>
    <t>Hotel standard</t>
  </si>
  <si>
    <t xml:space="preserve">HR </t>
  </si>
  <si>
    <t>Angela  (HSE butta paletta)</t>
  </si>
  <si>
    <t>HSE butta paletta</t>
  </si>
  <si>
    <t>Angela  (HR)</t>
  </si>
  <si>
    <t xml:space="preserve">Angela  </t>
  </si>
  <si>
    <t>Messaggio</t>
  </si>
  <si>
    <t>Flag invio</t>
  </si>
  <si>
    <t>Lunedi 03/05/2022\nSala\n - Colazione (HR )\n\n</t>
  </si>
  <si>
    <t>Lunedi 03/05/2022\nSala\n - Colazione\n\n</t>
  </si>
  <si>
    <t>Domenica 09/05/2022\nAssenze\n - Malattia (tosse)\n\n</t>
  </si>
  <si>
    <t>Mercoledi 05/05/2022\nReception\n - Pomeriggio (HR)\n\nGiovedi 06/05/2022\nReception\n - Mattina\n\nSabato 08/05/2022\nSala\n - Cena\nCucina\n - Pranzo (HSE butta paletta)\n - Cena (HSE procura paletta)\n\n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</si>
</sst>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4" borderId="2" xfId="0" applyFont="1" applyFill="1" applyBorder="1"/>
    <xf numFmtId="0" fontId="4" fillId="5" borderId="0" xfId="0" applyFont="1" applyFill="1" applyAlignment="1"/>
    <xf numFmtId="0" fontId="1" fillId="5" borderId="0" xfId="0" applyFont="1" applyFill="1"/>
    <xf numFmtId="0" fontId="0" fillId="5" borderId="0" xfId="0" applyFill="1"/>
    <xf numFmtId="49" fontId="3" fillId="2" borderId="1" xfId="0" applyNumberFormat="1" applyFont="1" applyFill="1" applyBorder="1" applyAlignment="1">
      <alignment horizontal="center" vertical="center"/>
    </xf>
    <xf numFmtId="49" fontId="1" fillId="0" borderId="0" xfId="0" applyNumberFormat="1" applyFont="1"/>
    <xf numFmtId="0" fontId="1" fillId="4" borderId="4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5" fillId="7" borderId="6" xfId="0" applyFont="1" applyFill="1" applyBorder="1"/>
    <xf numFmtId="0" fontId="5" fillId="7" borderId="7" xfId="0" applyFont="1" applyFill="1" applyBorder="1"/>
    <xf numFmtId="14" fontId="0" fillId="0" borderId="0" xfId="0" applyNumberFormat="1"/>
    <xf numFmtId="14" fontId="5" fillId="7" borderId="5" xfId="0" applyNumberFormat="1" applyFont="1" applyFill="1" applyBorder="1"/>
    <xf numFmtId="49" fontId="0" fillId="0" borderId="0" xfId="0" applyNumberFormat="1"/>
    <xf numFmtId="0" fontId="0" fillId="0" borderId="0" xfId="0" applyAlignment="1" applyProtection="1">
      <alignment horizontal="left" vertical="top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0" fontId="5" fillId="8" borderId="0" xfId="0" applyFont="1" applyFill="1"/>
    <xf numFmtId="49" fontId="5" fillId="8" borderId="0" xfId="0" applyNumberFormat="1" applyFont="1" applyFill="1"/>
    <xf numFmtId="0" fontId="0" fillId="0" borderId="0" xfId="0" pivotButton="1"/>
    <xf numFmtId="0" fontId="4" fillId="3" borderId="0" xfId="0" applyFont="1" applyFill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1362635</xdr:colOff>
      <xdr:row>0</xdr:row>
      <xdr:rowOff>80682</xdr:rowOff>
    </xdr:from>
    <xdr:to>
      <xdr:col>8</xdr:col>
      <xdr:colOff>10308</xdr:colOff>
      <xdr:row>1</xdr:row>
      <xdr:rowOff>152399</xdr:rowOff>
    </xdr:to>
    <xdr:sp macro="[0]!runTurni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5E5EC68A-D577-72FB-7332-2906B44A0A26}"/>
            </a:ext>
          </a:extLst>
        </xdr:cNvPr>
        <xdr:cNvSpPr/>
      </xdr:nvSpPr>
      <xdr:spPr>
        <a:xfrm>
          <a:off x="10076329" y="80682"/>
          <a:ext cx="1552238" cy="322729"/>
        </a:xfrm>
        <a:prstGeom prst="roundRect">
          <a:avLst/>
        </a:prstGeom>
        <a:gradFill>
          <a:gsLst>
            <a:gs pos="0">
              <a:schemeClr val="accent6">
                <a:lumMod val="20000"/>
                <a:lumOff val="80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SALVA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259080</xdr:colOff>
      <xdr:row>0</xdr:row>
      <xdr:rowOff>22860</xdr:rowOff>
    </xdr:from>
    <xdr:to>
      <xdr:col>8</xdr:col>
      <xdr:colOff>586740</xdr:colOff>
      <xdr:row>0</xdr:row>
      <xdr:rowOff>259080</xdr:rowOff>
    </xdr:to>
    <xdr:sp macro="[0]!runProcessComunicazioni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00F418BB-F08E-ADED-B49F-4B97A4BCFC16}"/>
            </a:ext>
          </a:extLst>
        </xdr:cNvPr>
        <xdr:cNvSpPr/>
      </xdr:nvSpPr>
      <xdr:spPr>
        <a:xfrm>
          <a:off x="5242560" y="22860"/>
          <a:ext cx="2156460" cy="236220"/>
        </a:xfrm>
        <a:prstGeom prst="roundRect">
          <a:avLst/>
        </a:prstGeom>
        <a:gradFill flip="none" rotWithShape="1">
          <a:gsLst>
            <a:gs pos="0">
              <a:schemeClr val="accent6">
                <a:tint val="66000"/>
                <a:satMod val="160000"/>
              </a:schemeClr>
            </a:gs>
            <a:gs pos="50000">
              <a:schemeClr val="accent6">
                <a:tint val="44500"/>
                <a:satMod val="160000"/>
              </a:schemeClr>
            </a:gs>
            <a:gs pos="100000">
              <a:schemeClr val="accent6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accent6">
                  <a:lumMod val="75000"/>
                </a:schemeClr>
              </a:solidFill>
            </a:rPr>
            <a:t>INVIA MESSAGI WHATSAPP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ulio" refreshedDate="44686.931894675923" createdVersion="7" refreshedVersion="7" minRefreshableVersion="3" recordCount="9" xr:uid="{86319D20-8947-4312-B999-3B65D4881D2B}">
  <cacheSource type="worksheet">
    <worksheetSource ref="A1:H1048576" sheet="storico"/>
  </cacheSource>
  <cacheFields count="8">
    <cacheField name="Data inizio settimana" numFmtId="14">
      <sharedItems containsNonDate="0" containsDate="1" containsString="0" containsBlank="1" minDate="2022-05-03T00:00:00" maxDate="2022-05-04T00:00:00" count="2">
        <d v="2022-05-03T00:00:00"/>
        <m/>
      </sharedItems>
    </cacheField>
    <cacheField name="Data" numFmtId="0">
      <sharedItems containsNonDate="0" containsDate="1" containsString="0" containsBlank="1" minDate="2022-05-03T00:00:00" maxDate="2022-05-10T00:00:00" count="6">
        <d v="2022-05-03T00:00:00"/>
        <d v="2022-05-08T00:00:00"/>
        <d v="2022-05-06T00:00:00"/>
        <d v="2022-05-05T00:00:00"/>
        <d v="2022-05-09T00:00:00"/>
        <m/>
      </sharedItems>
    </cacheField>
    <cacheField name="Giorno" numFmtId="0">
      <sharedItems containsBlank="1"/>
    </cacheField>
    <cacheField name="Nome dipendente" numFmtId="0">
      <sharedItems containsBlank="1" count="5">
        <s v="Domenico"/>
        <s v="Vincenzo"/>
        <s v="Angela"/>
        <s v="Ivana"/>
        <m/>
      </sharedItems>
    </cacheField>
    <cacheField name="Reparto" numFmtId="0">
      <sharedItems containsBlank="1" count="5">
        <s v="Sala"/>
        <s v="Cucina"/>
        <s v="Reception"/>
        <s v="Assenze"/>
        <m/>
      </sharedItems>
    </cacheField>
    <cacheField name="Orario" numFmtId="0">
      <sharedItems containsBlank="1" count="7">
        <s v="Colazione"/>
        <s v="Cena"/>
        <s v="Pranzo"/>
        <s v="Mattina"/>
        <s v="Pomeriggio"/>
        <s v="Malattia"/>
        <m/>
      </sharedItems>
    </cacheField>
    <cacheField name="Nota" numFmtId="0">
      <sharedItems containsBlank="1" count="6">
        <s v="HR "/>
        <m/>
        <s v="HSE butta paletta"/>
        <s v="HSE procura paletta"/>
        <s v="HR"/>
        <s v="tosse"/>
      </sharedItems>
    </cacheField>
    <cacheField name="Hotel standar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s v="Lunedi"/>
    <x v="0"/>
    <x v="0"/>
    <x v="0"/>
    <x v="0"/>
    <s v="HR"/>
  </r>
  <r>
    <x v="0"/>
    <x v="0"/>
    <s v="Lunedi"/>
    <x v="1"/>
    <x v="0"/>
    <x v="0"/>
    <x v="1"/>
    <s v="HR"/>
  </r>
  <r>
    <x v="0"/>
    <x v="1"/>
    <s v="Sabato"/>
    <x v="2"/>
    <x v="0"/>
    <x v="1"/>
    <x v="1"/>
    <s v="HR"/>
  </r>
  <r>
    <x v="0"/>
    <x v="1"/>
    <s v="Sabato"/>
    <x v="2"/>
    <x v="1"/>
    <x v="2"/>
    <x v="2"/>
    <s v="HR"/>
  </r>
  <r>
    <x v="0"/>
    <x v="1"/>
    <s v="Sabato"/>
    <x v="2"/>
    <x v="1"/>
    <x v="1"/>
    <x v="3"/>
    <s v="HR"/>
  </r>
  <r>
    <x v="0"/>
    <x v="2"/>
    <s v="Giovedi"/>
    <x v="2"/>
    <x v="2"/>
    <x v="3"/>
    <x v="1"/>
    <s v="HR"/>
  </r>
  <r>
    <x v="0"/>
    <x v="3"/>
    <s v="Mercoledi"/>
    <x v="2"/>
    <x v="2"/>
    <x v="4"/>
    <x v="4"/>
    <s v="HR"/>
  </r>
  <r>
    <x v="0"/>
    <x v="4"/>
    <s v="Domenica"/>
    <x v="3"/>
    <x v="3"/>
    <x v="5"/>
    <x v="5"/>
    <s v="HR"/>
  </r>
  <r>
    <x v="1"/>
    <x v="5"/>
    <m/>
    <x v="4"/>
    <x v="4"/>
    <x v="6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3A3C-FD7A-40F1-BFA3-784AA8229A11}" name="Tabella pivot1" cacheId="0" applyNumberFormats="0" applyBorderFormats="0" applyFontFormats="0" applyPatternFormats="0" applyAlignmentFormats="0" applyWidthHeightFormats="1" dataCaption="Valori" updatedVersion="7" minRefreshableVersion="3" useAutoFormatting="1" rowGrandTotals="0" colGrandTotals="0" itemPrintTitles="1" createdVersion="7" indent="0" compact="0" compactData="0" multipleFieldFilters="0">
  <location ref="A3:E4" firstHeaderRow="1" firstDataRow="1" firstDataCol="5"/>
  <pivotFields count="8">
    <pivotField compact="0" outline="0" showAll="0" defaultSubtotal="0">
      <items count="2">
        <item x="0"/>
        <item x="1"/>
      </items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</pivotField>
    <pivotField compact="0" outline="0" showAll="0" defaultSubtotal="0"/>
    <pivotField axis="axisRow" compact="0" outline="0" showAll="0" defaultSubtotal="0">
      <items count="5">
        <item x="2"/>
        <item x="0"/>
        <item x="3"/>
        <item x="1"/>
        <item x="4"/>
      </items>
    </pivotField>
    <pivotField axis="axisRow" compact="0" outline="0" showAll="0" defaultSubtotal="0">
      <items count="5">
        <item x="3"/>
        <item h="1" x="1"/>
        <item h="1" x="2"/>
        <item h="1" x="0"/>
        <item h="1" x="4"/>
      </items>
    </pivotField>
    <pivotField axis="axisRow" compact="0" outline="0" showAll="0" defaultSubtotal="0">
      <items count="7">
        <item x="1"/>
        <item x="0"/>
        <item x="5"/>
        <item x="3"/>
        <item x="4"/>
        <item x="2"/>
        <item x="6"/>
      </items>
    </pivotField>
    <pivotField axis="axisRow" compact="0" outline="0" showAll="0" defaultSubtotal="0">
      <items count="6">
        <item x="4"/>
        <item x="0"/>
        <item x="2"/>
        <item x="3"/>
        <item x="5"/>
        <item x="1"/>
      </items>
    </pivotField>
    <pivotField compact="0" outline="0" showAll="0" defaultSubtotal="0"/>
  </pivotFields>
  <rowFields count="5">
    <field x="3"/>
    <field x="1"/>
    <field x="4"/>
    <field x="5"/>
    <field x="6"/>
  </rowFields>
  <rowItems count="1">
    <i>
      <x v="2"/>
      <x v="4"/>
      <x/>
      <x v="2"/>
      <x v="4"/>
    </i>
  </rowItems>
  <colItems count="1">
    <i/>
  </colItem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61CF4-F10F-4068-8899-54A6690FBEF4}">
  <sheetPr codeName="Foglio3"/>
  <dimension ref="A1:H32"/>
  <sheetViews>
    <sheetView zoomScale="85" zoomScaleNormal="85" workbookViewId="0">
      <selection activeCell="H7" sqref="H7"/>
    </sheetView>
  </sheetViews>
  <sheetFormatPr defaultRowHeight="14.4" x14ac:dyDescent="0.3"/>
  <cols>
    <col min="1" max="8" width="21.109375" customWidth="1"/>
    <col min="9" max="16384" width="8.88671875" style="7"/>
  </cols>
  <sheetData>
    <row r="1" spans="1:8" s="14" customFormat="1" ht="19.95" customHeight="1" x14ac:dyDescent="0.3">
      <c r="A1" s="15" t="s">
        <v>48</v>
      </c>
      <c r="B1" s="25">
        <v>44684</v>
      </c>
      <c r="C1" s="13"/>
      <c r="D1" s="13"/>
      <c r="E1" s="13"/>
      <c r="F1" s="13"/>
      <c r="G1" s="13"/>
      <c r="H1" s="13"/>
    </row>
    <row r="2" spans="1:8" s="14" customFormat="1" ht="19.95" customHeight="1" x14ac:dyDescent="0.3">
      <c r="A2" s="13"/>
      <c r="B2" s="13"/>
      <c r="C2" s="13"/>
      <c r="D2" s="13"/>
      <c r="E2" s="13"/>
      <c r="F2" s="13"/>
      <c r="G2" s="13"/>
      <c r="H2" s="13"/>
    </row>
    <row r="3" spans="1:8" s="5" customFormat="1" ht="21" x14ac:dyDescent="0.4">
      <c r="A3" s="29" t="s">
        <v>10</v>
      </c>
      <c r="B3" s="29"/>
      <c r="C3" s="29"/>
      <c r="D3" s="29"/>
      <c r="E3" s="29"/>
      <c r="F3" s="29"/>
      <c r="G3" s="29"/>
      <c r="H3" s="29"/>
    </row>
    <row r="4" spans="1:8" s="12" customFormat="1" x14ac:dyDescent="0.3">
      <c r="A4" s="16"/>
      <c r="B4" s="17">
        <f>$B$1</f>
        <v>44684</v>
      </c>
      <c r="C4" s="17">
        <f>$B$1 + 1</f>
        <v>44685</v>
      </c>
      <c r="D4" s="17">
        <f>$B$1 + 2</f>
        <v>44686</v>
      </c>
      <c r="E4" s="17">
        <f>$B$1 + 3</f>
        <v>44687</v>
      </c>
      <c r="F4" s="17">
        <f>$B$1 + 4</f>
        <v>44688</v>
      </c>
      <c r="G4" s="17">
        <f>$B$1 + 5</f>
        <v>44689</v>
      </c>
      <c r="H4" s="17">
        <f>$B$1 + 6</f>
        <v>44690</v>
      </c>
    </row>
    <row r="5" spans="1:8" s="6" customFormat="1" x14ac:dyDescent="0.3">
      <c r="A5" s="10"/>
      <c r="B5" s="4" t="s">
        <v>13</v>
      </c>
      <c r="C5" s="4" t="s">
        <v>14</v>
      </c>
      <c r="D5" s="4" t="s">
        <v>15</v>
      </c>
      <c r="E5" s="4" t="s">
        <v>16</v>
      </c>
      <c r="F5" s="4" t="s">
        <v>17</v>
      </c>
      <c r="G5" s="4" t="s">
        <v>18</v>
      </c>
      <c r="H5" s="4" t="s">
        <v>19</v>
      </c>
    </row>
    <row r="6" spans="1:8" ht="70.05" customHeight="1" x14ac:dyDescent="0.3">
      <c r="A6" s="11" t="s">
        <v>22</v>
      </c>
      <c r="B6" s="24" t="s">
        <v>50</v>
      </c>
      <c r="C6" s="24"/>
      <c r="D6" s="24"/>
      <c r="E6" s="24"/>
      <c r="F6" s="24"/>
      <c r="G6" s="24"/>
      <c r="H6" s="24"/>
    </row>
    <row r="7" spans="1:8" ht="70.05" customHeight="1" x14ac:dyDescent="0.3">
      <c r="A7" s="11" t="s">
        <v>20</v>
      </c>
      <c r="B7" s="24"/>
      <c r="C7" s="24"/>
      <c r="D7" s="24"/>
      <c r="E7" s="24"/>
      <c r="F7" s="24"/>
      <c r="G7" s="24"/>
      <c r="H7" s="24"/>
    </row>
    <row r="8" spans="1:8" ht="70.05" customHeight="1" x14ac:dyDescent="0.3">
      <c r="A8" s="11" t="s">
        <v>21</v>
      </c>
      <c r="B8" s="24"/>
      <c r="C8" s="24"/>
      <c r="D8" s="24"/>
      <c r="E8" s="24"/>
      <c r="F8" s="24"/>
      <c r="G8" s="24" t="s">
        <v>3</v>
      </c>
      <c r="H8" s="24"/>
    </row>
    <row r="9" spans="1:8" ht="21" x14ac:dyDescent="0.4">
      <c r="A9" s="29" t="s">
        <v>11</v>
      </c>
      <c r="B9" s="29"/>
      <c r="C9" s="29"/>
      <c r="D9" s="29"/>
      <c r="E9" s="29"/>
      <c r="F9" s="29"/>
      <c r="G9" s="29"/>
      <c r="H9" s="29"/>
    </row>
    <row r="10" spans="1:8" s="18" customFormat="1" x14ac:dyDescent="0.3">
      <c r="A10" s="16"/>
      <c r="B10" s="17">
        <f>$B$1</f>
        <v>44684</v>
      </c>
      <c r="C10" s="17">
        <f>$B$1 + 1</f>
        <v>44685</v>
      </c>
      <c r="D10" s="17">
        <f>$B$1 + 2</f>
        <v>44686</v>
      </c>
      <c r="E10" s="17">
        <f>$B$1 + 3</f>
        <v>44687</v>
      </c>
      <c r="F10" s="17">
        <f>$B$1 + 4</f>
        <v>44688</v>
      </c>
      <c r="G10" s="17">
        <f>$B$1 + 5</f>
        <v>44689</v>
      </c>
      <c r="H10" s="17">
        <f>$B$1 + 6</f>
        <v>44690</v>
      </c>
    </row>
    <row r="11" spans="1:8" x14ac:dyDescent="0.3">
      <c r="A11" s="10"/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</row>
    <row r="12" spans="1:8" ht="70.05" customHeight="1" x14ac:dyDescent="0.3">
      <c r="A12" s="11" t="s">
        <v>20</v>
      </c>
      <c r="B12" s="24"/>
      <c r="C12" s="24"/>
      <c r="D12" s="24"/>
      <c r="E12" s="24"/>
      <c r="F12" s="24"/>
      <c r="G12" s="24" t="s">
        <v>65</v>
      </c>
      <c r="H12" s="24"/>
    </row>
    <row r="13" spans="1:8" ht="70.05" customHeight="1" x14ac:dyDescent="0.3">
      <c r="A13" s="11" t="s">
        <v>21</v>
      </c>
      <c r="B13" s="24"/>
      <c r="C13" s="24"/>
      <c r="D13" s="24"/>
      <c r="E13" s="24"/>
      <c r="F13" s="24"/>
      <c r="G13" s="24" t="s">
        <v>49</v>
      </c>
      <c r="H13" s="24"/>
    </row>
    <row r="14" spans="1:8" ht="21" x14ac:dyDescent="0.4">
      <c r="A14" s="29" t="s">
        <v>12</v>
      </c>
      <c r="B14" s="29"/>
      <c r="C14" s="29"/>
      <c r="D14" s="29"/>
      <c r="E14" s="29"/>
      <c r="F14" s="29"/>
      <c r="G14" s="29"/>
      <c r="H14" s="29"/>
    </row>
    <row r="15" spans="1:8" s="18" customFormat="1" x14ac:dyDescent="0.3">
      <c r="A15" s="16"/>
      <c r="B15" s="17">
        <f>$B$1</f>
        <v>44684</v>
      </c>
      <c r="C15" s="17">
        <f>$B$1 + 1</f>
        <v>44685</v>
      </c>
      <c r="D15" s="17">
        <f>$B$1 + 2</f>
        <v>44686</v>
      </c>
      <c r="E15" s="17">
        <f>$B$1 + 3</f>
        <v>44687</v>
      </c>
      <c r="F15" s="17">
        <f>$B$1 + 4</f>
        <v>44688</v>
      </c>
      <c r="G15" s="17">
        <f>$B$1 + 5</f>
        <v>44689</v>
      </c>
      <c r="H15" s="17">
        <f>$B$1 + 6</f>
        <v>44690</v>
      </c>
    </row>
    <row r="16" spans="1:8" x14ac:dyDescent="0.3">
      <c r="A16" s="10"/>
      <c r="B16" s="4" t="s">
        <v>13</v>
      </c>
      <c r="C16" s="4" t="s">
        <v>14</v>
      </c>
      <c r="D16" s="4" t="s">
        <v>15</v>
      </c>
      <c r="E16" s="4" t="s">
        <v>16</v>
      </c>
      <c r="F16" s="4" t="s">
        <v>17</v>
      </c>
      <c r="G16" s="4" t="s">
        <v>18</v>
      </c>
      <c r="H16" s="4" t="s">
        <v>19</v>
      </c>
    </row>
    <row r="17" spans="1:8" ht="70.05" customHeight="1" x14ac:dyDescent="0.3">
      <c r="A17" s="11" t="s">
        <v>26</v>
      </c>
      <c r="B17" s="24"/>
      <c r="C17" s="24"/>
      <c r="D17" s="24"/>
      <c r="E17" s="24"/>
      <c r="F17" s="24"/>
      <c r="G17" s="24"/>
      <c r="H17" s="24"/>
    </row>
    <row r="18" spans="1:8" ht="70.05" customHeight="1" x14ac:dyDescent="0.3">
      <c r="A18" s="11" t="s">
        <v>27</v>
      </c>
      <c r="B18" s="24"/>
      <c r="C18" s="24"/>
      <c r="D18" s="24"/>
      <c r="E18" s="24"/>
      <c r="F18" s="24"/>
      <c r="G18" s="24"/>
      <c r="H18" s="24"/>
    </row>
    <row r="19" spans="1:8" ht="70.05" customHeight="1" x14ac:dyDescent="0.3">
      <c r="A19" s="11" t="s">
        <v>29</v>
      </c>
      <c r="B19" s="24"/>
      <c r="C19" s="24"/>
      <c r="D19" s="24"/>
      <c r="E19" s="24"/>
      <c r="F19" s="24"/>
      <c r="G19" s="24"/>
      <c r="H19" s="24"/>
    </row>
    <row r="20" spans="1:8" ht="70.05" customHeight="1" x14ac:dyDescent="0.3">
      <c r="A20" s="11" t="s">
        <v>30</v>
      </c>
      <c r="B20" s="24"/>
      <c r="C20" s="24"/>
      <c r="D20" s="24"/>
      <c r="E20" s="24"/>
      <c r="F20" s="24"/>
      <c r="G20" s="24"/>
      <c r="H20" s="24"/>
    </row>
    <row r="21" spans="1:8" ht="21" x14ac:dyDescent="0.4">
      <c r="A21" s="29" t="s">
        <v>31</v>
      </c>
      <c r="B21" s="29"/>
      <c r="C21" s="29"/>
      <c r="D21" s="29"/>
      <c r="E21" s="29"/>
      <c r="F21" s="29"/>
      <c r="G21" s="29"/>
      <c r="H21" s="29"/>
    </row>
    <row r="22" spans="1:8" s="18" customFormat="1" x14ac:dyDescent="0.3">
      <c r="A22" s="16"/>
      <c r="B22" s="17">
        <f>$B$1</f>
        <v>44684</v>
      </c>
      <c r="C22" s="17">
        <f>$B$1 + 1</f>
        <v>44685</v>
      </c>
      <c r="D22" s="17">
        <f>$B$1 + 2</f>
        <v>44686</v>
      </c>
      <c r="E22" s="17">
        <f>$B$1 + 3</f>
        <v>44687</v>
      </c>
      <c r="F22" s="17">
        <f>$B$1 + 4</f>
        <v>44688</v>
      </c>
      <c r="G22" s="17">
        <f>$B$1 + 5</f>
        <v>44689</v>
      </c>
      <c r="H22" s="17">
        <f>$B$1 + 6</f>
        <v>44690</v>
      </c>
    </row>
    <row r="23" spans="1:8" x14ac:dyDescent="0.3">
      <c r="A23" s="10"/>
      <c r="B23" s="4" t="s">
        <v>13</v>
      </c>
      <c r="C23" s="4" t="s">
        <v>14</v>
      </c>
      <c r="D23" s="4" t="s">
        <v>15</v>
      </c>
      <c r="E23" s="4" t="s">
        <v>16</v>
      </c>
      <c r="F23" s="4" t="s">
        <v>17</v>
      </c>
      <c r="G23" s="4" t="s">
        <v>18</v>
      </c>
      <c r="H23" s="4" t="s">
        <v>19</v>
      </c>
    </row>
    <row r="24" spans="1:8" ht="70.05" customHeight="1" x14ac:dyDescent="0.3">
      <c r="A24" s="11" t="s">
        <v>23</v>
      </c>
      <c r="B24" s="24"/>
      <c r="C24" s="24"/>
      <c r="D24" s="24"/>
      <c r="E24" s="24" t="s">
        <v>68</v>
      </c>
      <c r="F24" s="24"/>
      <c r="G24" s="24"/>
      <c r="H24" s="24"/>
    </row>
    <row r="25" spans="1:8" ht="70.05" customHeight="1" x14ac:dyDescent="0.3">
      <c r="A25" s="11" t="s">
        <v>24</v>
      </c>
      <c r="B25" s="24"/>
      <c r="C25" s="24"/>
      <c r="D25" s="24" t="s">
        <v>67</v>
      </c>
      <c r="E25" s="24"/>
      <c r="F25" s="24"/>
      <c r="G25" s="24"/>
      <c r="H25" s="24"/>
    </row>
    <row r="26" spans="1:8" ht="70.05" customHeight="1" x14ac:dyDescent="0.3">
      <c r="A26" s="11" t="s">
        <v>25</v>
      </c>
      <c r="B26" s="24"/>
      <c r="C26" s="24"/>
      <c r="D26" s="24"/>
      <c r="E26" s="24"/>
      <c r="F26" s="24"/>
      <c r="G26" s="24"/>
      <c r="H26" s="24"/>
    </row>
    <row r="27" spans="1:8" ht="21" x14ac:dyDescent="0.4">
      <c r="A27" s="29" t="s">
        <v>45</v>
      </c>
      <c r="B27" s="29"/>
      <c r="C27" s="29"/>
      <c r="D27" s="29"/>
      <c r="E27" s="29"/>
      <c r="F27" s="29"/>
      <c r="G27" s="29"/>
      <c r="H27" s="29"/>
    </row>
    <row r="28" spans="1:8" s="18" customFormat="1" x14ac:dyDescent="0.3">
      <c r="A28" s="16"/>
      <c r="B28" s="17">
        <f>$B$1</f>
        <v>44684</v>
      </c>
      <c r="C28" s="17">
        <f>$B$1 + 1</f>
        <v>44685</v>
      </c>
      <c r="D28" s="17">
        <f>$B$1 + 2</f>
        <v>44686</v>
      </c>
      <c r="E28" s="17">
        <f>$B$1 + 3</f>
        <v>44687</v>
      </c>
      <c r="F28" s="17">
        <f>$B$1 + 4</f>
        <v>44688</v>
      </c>
      <c r="G28" s="17">
        <f>$B$1 + 5</f>
        <v>44689</v>
      </c>
      <c r="H28" s="17">
        <f>$B$1 + 6</f>
        <v>44690</v>
      </c>
    </row>
    <row r="29" spans="1:8" x14ac:dyDescent="0.3">
      <c r="A29" s="10"/>
      <c r="B29" s="4" t="s">
        <v>13</v>
      </c>
      <c r="C29" s="4" t="s">
        <v>14</v>
      </c>
      <c r="D29" s="4" t="s">
        <v>15</v>
      </c>
      <c r="E29" s="4" t="s">
        <v>16</v>
      </c>
      <c r="F29" s="4" t="s">
        <v>17</v>
      </c>
      <c r="G29" s="4" t="s">
        <v>18</v>
      </c>
      <c r="H29" s="4" t="s">
        <v>19</v>
      </c>
    </row>
    <row r="30" spans="1:8" ht="70.05" customHeight="1" x14ac:dyDescent="0.3">
      <c r="A30" s="11" t="s">
        <v>46</v>
      </c>
      <c r="B30" s="24"/>
      <c r="C30" s="24"/>
      <c r="D30" s="24"/>
      <c r="E30" s="24"/>
      <c r="F30" s="24"/>
      <c r="G30" s="24"/>
      <c r="H30" s="24"/>
    </row>
    <row r="31" spans="1:8" ht="70.05" customHeight="1" x14ac:dyDescent="0.3">
      <c r="A31" s="11" t="s">
        <v>47</v>
      </c>
      <c r="B31" s="24"/>
      <c r="C31" s="24"/>
      <c r="D31" s="24"/>
      <c r="E31" s="24"/>
      <c r="F31" s="24"/>
      <c r="G31" s="24"/>
      <c r="H31" s="24"/>
    </row>
    <row r="32" spans="1:8" ht="70.05" customHeight="1" x14ac:dyDescent="0.3">
      <c r="A32" s="11" t="s">
        <v>51</v>
      </c>
      <c r="B32" s="24"/>
      <c r="C32" s="24"/>
      <c r="D32" s="24"/>
      <c r="E32" s="24"/>
      <c r="F32" s="24"/>
      <c r="G32" s="24"/>
      <c r="H32" s="24" t="s">
        <v>52</v>
      </c>
    </row>
  </sheetData>
  <sheetProtection sheet="1" objects="1" scenarios="1"/>
  <mergeCells count="5">
    <mergeCell ref="A3:H3"/>
    <mergeCell ref="A9:H9"/>
    <mergeCell ref="A14:H14"/>
    <mergeCell ref="A21:H21"/>
    <mergeCell ref="A27:H2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7DC03-FDF9-4FA1-AA9A-42E820E03306}">
  <sheetPr codeName="Foglio4"/>
  <dimension ref="A1:D5"/>
  <sheetViews>
    <sheetView workbookViewId="0">
      <selection activeCell="G3" sqref="G3"/>
    </sheetView>
  </sheetViews>
  <sheetFormatPr defaultRowHeight="14.4" x14ac:dyDescent="0.3"/>
  <cols>
    <col min="1" max="1" width="8.5546875" bestFit="1" customWidth="1"/>
    <col min="2" max="2" width="14.88671875" style="23" customWidth="1"/>
    <col min="3" max="3" width="16.44140625" style="23" customWidth="1"/>
    <col min="4" max="4" width="23.88671875" customWidth="1"/>
  </cols>
  <sheetData>
    <row r="1" spans="1:4" s="26" customFormat="1" ht="21" customHeight="1" x14ac:dyDescent="0.3">
      <c r="A1" s="26" t="s">
        <v>70</v>
      </c>
      <c r="B1" s="27" t="s">
        <v>59</v>
      </c>
      <c r="C1" s="27" t="s">
        <v>60</v>
      </c>
      <c r="D1" s="26" t="s">
        <v>69</v>
      </c>
    </row>
    <row r="2" spans="1:4" x14ac:dyDescent="0.3">
      <c r="A2">
        <v>1</v>
      </c>
      <c r="B2" s="23" t="s">
        <v>3</v>
      </c>
      <c r="C2" s="23" t="s">
        <v>28</v>
      </c>
      <c r="D2" t="s">
        <v>74</v>
      </c>
    </row>
    <row r="3" spans="1:4" x14ac:dyDescent="0.3">
      <c r="A3">
        <v>1</v>
      </c>
      <c r="B3" s="23" t="s">
        <v>6</v>
      </c>
      <c r="C3" s="23" t="s">
        <v>28</v>
      </c>
      <c r="D3" t="s">
        <v>71</v>
      </c>
    </row>
    <row r="4" spans="1:4" x14ac:dyDescent="0.3">
      <c r="A4">
        <v>1</v>
      </c>
      <c r="B4" s="23" t="s">
        <v>5</v>
      </c>
      <c r="C4" s="23" t="s">
        <v>28</v>
      </c>
      <c r="D4" t="s">
        <v>72</v>
      </c>
    </row>
    <row r="5" spans="1:4" x14ac:dyDescent="0.3">
      <c r="A5">
        <v>1</v>
      </c>
      <c r="B5" s="23" t="s">
        <v>7</v>
      </c>
      <c r="C5" s="23" t="s">
        <v>28</v>
      </c>
      <c r="D5" t="s">
        <v>73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72AE-CD46-4496-8120-92DE82E095F0}">
  <sheetPr codeName="Foglio5"/>
  <dimension ref="A3:E4"/>
  <sheetViews>
    <sheetView workbookViewId="0">
      <selection activeCell="E6" sqref="E6"/>
    </sheetView>
  </sheetViews>
  <sheetFormatPr defaultRowHeight="14.4" x14ac:dyDescent="0.3"/>
  <cols>
    <col min="1" max="1" width="17.33203125" bestFit="1" customWidth="1"/>
    <col min="2" max="2" width="16.33203125" bestFit="1" customWidth="1"/>
    <col min="3" max="3" width="14.77734375" customWidth="1"/>
    <col min="4" max="4" width="19.88671875" customWidth="1"/>
    <col min="5" max="5" width="16.77734375" customWidth="1"/>
  </cols>
  <sheetData>
    <row r="3" spans="1:5" x14ac:dyDescent="0.3">
      <c r="A3" s="28" t="s">
        <v>55</v>
      </c>
      <c r="B3" s="28" t="s">
        <v>53</v>
      </c>
      <c r="C3" s="28" t="s">
        <v>56</v>
      </c>
      <c r="D3" s="28" t="s">
        <v>57</v>
      </c>
      <c r="E3" s="28" t="s">
        <v>58</v>
      </c>
    </row>
    <row r="4" spans="1:5" x14ac:dyDescent="0.3">
      <c r="A4" t="s">
        <v>7</v>
      </c>
      <c r="B4" s="21">
        <v>44690</v>
      </c>
      <c r="C4" t="s">
        <v>45</v>
      </c>
      <c r="D4" t="s">
        <v>51</v>
      </c>
      <c r="E4" t="s">
        <v>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A0A3-2FE1-4719-ACF3-8646332DFB0D}">
  <sheetPr codeName="Foglio1"/>
  <dimension ref="A1:H9"/>
  <sheetViews>
    <sheetView tabSelected="1" zoomScaleNormal="100" workbookViewId="0">
      <selection activeCell="G2" sqref="G2"/>
    </sheetView>
  </sheetViews>
  <sheetFormatPr defaultRowHeight="14.4" x14ac:dyDescent="0.3"/>
  <cols>
    <col min="1" max="1" width="19.109375" style="21" customWidth="1"/>
    <col min="2" max="8" width="19.109375" customWidth="1"/>
  </cols>
  <sheetData>
    <row r="1" spans="1:8" x14ac:dyDescent="0.3">
      <c r="A1" s="22" t="s">
        <v>48</v>
      </c>
      <c r="B1" s="19" t="s">
        <v>53</v>
      </c>
      <c r="C1" s="19" t="s">
        <v>54</v>
      </c>
      <c r="D1" s="19" t="s">
        <v>55</v>
      </c>
      <c r="E1" s="19" t="s">
        <v>56</v>
      </c>
      <c r="F1" s="19" t="s">
        <v>57</v>
      </c>
      <c r="G1" s="20" t="s">
        <v>58</v>
      </c>
      <c r="H1" s="20" t="s">
        <v>63</v>
      </c>
    </row>
    <row r="2" spans="1:8" x14ac:dyDescent="0.3">
      <c r="A2" s="21">
        <v>44684</v>
      </c>
      <c r="B2" s="21">
        <v>44684</v>
      </c>
      <c r="C2" t="s">
        <v>13</v>
      </c>
      <c r="D2" t="s">
        <v>6</v>
      </c>
      <c r="E2" t="s">
        <v>10</v>
      </c>
      <c r="F2" t="s">
        <v>22</v>
      </c>
      <c r="G2" t="s">
        <v>64</v>
      </c>
      <c r="H2" t="s">
        <v>8</v>
      </c>
    </row>
    <row r="3" spans="1:8" x14ac:dyDescent="0.3">
      <c r="A3" s="21">
        <v>44684</v>
      </c>
      <c r="B3" s="21">
        <v>44684</v>
      </c>
      <c r="C3" t="s">
        <v>13</v>
      </c>
      <c r="D3" t="s">
        <v>5</v>
      </c>
      <c r="E3" t="s">
        <v>10</v>
      </c>
      <c r="F3" t="s">
        <v>22</v>
      </c>
      <c r="H3" t="s">
        <v>8</v>
      </c>
    </row>
    <row r="4" spans="1:8" x14ac:dyDescent="0.3">
      <c r="A4" s="21">
        <v>44684</v>
      </c>
      <c r="B4" s="21">
        <v>44689</v>
      </c>
      <c r="C4" t="s">
        <v>18</v>
      </c>
      <c r="D4" t="s">
        <v>3</v>
      </c>
      <c r="E4" t="s">
        <v>10</v>
      </c>
      <c r="F4" t="s">
        <v>21</v>
      </c>
      <c r="H4" t="s">
        <v>8</v>
      </c>
    </row>
    <row r="5" spans="1:8" x14ac:dyDescent="0.3">
      <c r="A5" s="21">
        <v>44684</v>
      </c>
      <c r="B5" s="21">
        <v>44689</v>
      </c>
      <c r="C5" t="s">
        <v>18</v>
      </c>
      <c r="D5" t="s">
        <v>3</v>
      </c>
      <c r="E5" t="s">
        <v>11</v>
      </c>
      <c r="F5" t="s">
        <v>20</v>
      </c>
      <c r="G5" t="s">
        <v>66</v>
      </c>
      <c r="H5" t="s">
        <v>8</v>
      </c>
    </row>
    <row r="6" spans="1:8" x14ac:dyDescent="0.3">
      <c r="A6" s="21">
        <v>44684</v>
      </c>
      <c r="B6" s="21">
        <v>44689</v>
      </c>
      <c r="C6" t="s">
        <v>18</v>
      </c>
      <c r="D6" t="s">
        <v>3</v>
      </c>
      <c r="E6" t="s">
        <v>11</v>
      </c>
      <c r="F6" t="s">
        <v>21</v>
      </c>
      <c r="G6" t="s">
        <v>61</v>
      </c>
      <c r="H6" t="s">
        <v>8</v>
      </c>
    </row>
    <row r="7" spans="1:8" x14ac:dyDescent="0.3">
      <c r="A7" s="21">
        <v>44684</v>
      </c>
      <c r="B7" s="21">
        <v>44687</v>
      </c>
      <c r="C7" t="s">
        <v>16</v>
      </c>
      <c r="D7" t="s">
        <v>3</v>
      </c>
      <c r="E7" t="s">
        <v>31</v>
      </c>
      <c r="F7" t="s">
        <v>23</v>
      </c>
      <c r="H7" t="s">
        <v>8</v>
      </c>
    </row>
    <row r="8" spans="1:8" x14ac:dyDescent="0.3">
      <c r="A8" s="21">
        <v>44684</v>
      </c>
      <c r="B8" s="21">
        <v>44686</v>
      </c>
      <c r="C8" t="s">
        <v>15</v>
      </c>
      <c r="D8" t="s">
        <v>3</v>
      </c>
      <c r="E8" t="s">
        <v>31</v>
      </c>
      <c r="F8" t="s">
        <v>24</v>
      </c>
      <c r="G8" t="s">
        <v>8</v>
      </c>
      <c r="H8" t="s">
        <v>8</v>
      </c>
    </row>
    <row r="9" spans="1:8" x14ac:dyDescent="0.3">
      <c r="A9" s="21">
        <v>44684</v>
      </c>
      <c r="B9" s="21">
        <v>44690</v>
      </c>
      <c r="C9" t="s">
        <v>19</v>
      </c>
      <c r="D9" t="s">
        <v>7</v>
      </c>
      <c r="E9" t="s">
        <v>45</v>
      </c>
      <c r="F9" t="s">
        <v>51</v>
      </c>
      <c r="G9" t="s">
        <v>62</v>
      </c>
      <c r="H9" t="s">
        <v>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D1BC0-98E3-42A6-90EA-C977FC88E538}">
  <sheetPr codeName="Foglio2"/>
  <dimension ref="A1:D18"/>
  <sheetViews>
    <sheetView workbookViewId="0">
      <pane ySplit="1" topLeftCell="A2" activePane="bottomLeft" state="frozen"/>
      <selection pane="bottomLeft" activeCell="H20" sqref="H20"/>
    </sheetView>
  </sheetViews>
  <sheetFormatPr defaultRowHeight="14.4" x14ac:dyDescent="0.3"/>
  <cols>
    <col min="1" max="1" width="16.21875" style="3" bestFit="1" customWidth="1"/>
    <col min="2" max="2" width="16.21875" style="3" customWidth="1"/>
    <col min="3" max="3" width="23.33203125" style="3" bestFit="1" customWidth="1"/>
    <col min="4" max="4" width="25.21875" style="9" bestFit="1" customWidth="1"/>
  </cols>
  <sheetData>
    <row r="1" spans="1:4" s="1" customFormat="1" ht="38.4" customHeight="1" thickBot="1" x14ac:dyDescent="0.35">
      <c r="A1" s="2" t="s">
        <v>0</v>
      </c>
      <c r="B1" s="2" t="s">
        <v>1</v>
      </c>
      <c r="C1" s="2" t="s">
        <v>33</v>
      </c>
      <c r="D1" s="8" t="s">
        <v>32</v>
      </c>
    </row>
    <row r="2" spans="1:4" x14ac:dyDescent="0.3">
      <c r="A2" s="3" t="s">
        <v>3</v>
      </c>
      <c r="B2" s="3" t="s">
        <v>31</v>
      </c>
      <c r="C2" s="3" t="s">
        <v>8</v>
      </c>
      <c r="D2" s="9" t="s">
        <v>28</v>
      </c>
    </row>
    <row r="3" spans="1:4" x14ac:dyDescent="0.3">
      <c r="A3" s="3" t="s">
        <v>2</v>
      </c>
      <c r="B3" s="3" t="s">
        <v>31</v>
      </c>
      <c r="C3" s="3" t="s">
        <v>8</v>
      </c>
      <c r="D3" s="9" t="s">
        <v>28</v>
      </c>
    </row>
    <row r="4" spans="1:4" x14ac:dyDescent="0.3">
      <c r="A4" s="3" t="s">
        <v>4</v>
      </c>
      <c r="B4" s="3" t="s">
        <v>31</v>
      </c>
      <c r="C4" s="3" t="s">
        <v>8</v>
      </c>
      <c r="D4" s="9" t="s">
        <v>28</v>
      </c>
    </row>
    <row r="5" spans="1:4" x14ac:dyDescent="0.3">
      <c r="A5" s="3" t="s">
        <v>34</v>
      </c>
      <c r="B5" s="3" t="s">
        <v>31</v>
      </c>
      <c r="C5" s="3" t="s">
        <v>8</v>
      </c>
      <c r="D5" s="9" t="s">
        <v>28</v>
      </c>
    </row>
    <row r="6" spans="1:4" x14ac:dyDescent="0.3">
      <c r="A6" s="3" t="s">
        <v>6</v>
      </c>
      <c r="B6" s="3" t="s">
        <v>10</v>
      </c>
      <c r="C6" s="3" t="s">
        <v>8</v>
      </c>
      <c r="D6" s="9" t="s">
        <v>28</v>
      </c>
    </row>
    <row r="7" spans="1:4" x14ac:dyDescent="0.3">
      <c r="A7" s="3" t="s">
        <v>5</v>
      </c>
      <c r="B7" s="3" t="s">
        <v>10</v>
      </c>
      <c r="C7" s="3" t="s">
        <v>8</v>
      </c>
      <c r="D7" s="9" t="s">
        <v>28</v>
      </c>
    </row>
    <row r="8" spans="1:4" x14ac:dyDescent="0.3">
      <c r="A8" s="3" t="s">
        <v>35</v>
      </c>
      <c r="B8" s="3" t="s">
        <v>10</v>
      </c>
      <c r="C8" s="3" t="s">
        <v>8</v>
      </c>
      <c r="D8" s="9" t="s">
        <v>28</v>
      </c>
    </row>
    <row r="9" spans="1:4" x14ac:dyDescent="0.3">
      <c r="A9" s="3" t="s">
        <v>7</v>
      </c>
      <c r="B9" s="3" t="s">
        <v>10</v>
      </c>
      <c r="C9" s="3" t="s">
        <v>8</v>
      </c>
      <c r="D9" s="9" t="s">
        <v>28</v>
      </c>
    </row>
    <row r="10" spans="1:4" x14ac:dyDescent="0.3">
      <c r="A10" s="3" t="s">
        <v>36</v>
      </c>
      <c r="B10" s="3" t="s">
        <v>10</v>
      </c>
      <c r="C10" s="3" t="s">
        <v>8</v>
      </c>
      <c r="D10" s="9" t="s">
        <v>28</v>
      </c>
    </row>
    <row r="11" spans="1:4" x14ac:dyDescent="0.3">
      <c r="A11" s="3" t="s">
        <v>37</v>
      </c>
      <c r="B11" s="3" t="s">
        <v>10</v>
      </c>
      <c r="C11" s="3" t="s">
        <v>8</v>
      </c>
      <c r="D11" s="9" t="s">
        <v>28</v>
      </c>
    </row>
    <row r="12" spans="1:4" x14ac:dyDescent="0.3">
      <c r="A12" s="3" t="s">
        <v>38</v>
      </c>
      <c r="B12" s="3" t="s">
        <v>12</v>
      </c>
      <c r="C12" s="3" t="s">
        <v>8</v>
      </c>
      <c r="D12" s="9" t="s">
        <v>28</v>
      </c>
    </row>
    <row r="13" spans="1:4" x14ac:dyDescent="0.3">
      <c r="A13" s="3" t="s">
        <v>39</v>
      </c>
      <c r="B13" s="3" t="s">
        <v>12</v>
      </c>
      <c r="C13" s="3" t="s">
        <v>8</v>
      </c>
      <c r="D13" s="9" t="s">
        <v>28</v>
      </c>
    </row>
    <row r="14" spans="1:4" x14ac:dyDescent="0.3">
      <c r="A14" s="3" t="s">
        <v>40</v>
      </c>
      <c r="B14" s="3" t="s">
        <v>12</v>
      </c>
      <c r="C14" s="3" t="s">
        <v>8</v>
      </c>
      <c r="D14" s="9" t="s">
        <v>28</v>
      </c>
    </row>
    <row r="15" spans="1:4" x14ac:dyDescent="0.3">
      <c r="A15" s="3" t="s">
        <v>41</v>
      </c>
      <c r="B15" s="3" t="s">
        <v>12</v>
      </c>
      <c r="C15" s="3" t="s">
        <v>8</v>
      </c>
      <c r="D15" s="9" t="s">
        <v>28</v>
      </c>
    </row>
    <row r="16" spans="1:4" x14ac:dyDescent="0.3">
      <c r="A16" s="3" t="s">
        <v>42</v>
      </c>
      <c r="B16" s="3" t="s">
        <v>31</v>
      </c>
      <c r="C16" s="3" t="s">
        <v>9</v>
      </c>
      <c r="D16" s="9" t="s">
        <v>28</v>
      </c>
    </row>
    <row r="17" spans="1:4" x14ac:dyDescent="0.3">
      <c r="A17" s="3" t="s">
        <v>43</v>
      </c>
      <c r="B17" s="3" t="s">
        <v>31</v>
      </c>
      <c r="C17" s="3" t="s">
        <v>9</v>
      </c>
      <c r="D17" s="9" t="s">
        <v>28</v>
      </c>
    </row>
    <row r="18" spans="1:4" x14ac:dyDescent="0.3">
      <c r="A18" s="3" t="s">
        <v>44</v>
      </c>
      <c r="B18" s="3" t="s">
        <v>31</v>
      </c>
      <c r="C18" s="3" t="s">
        <v>9</v>
      </c>
      <c r="D18" s="9" t="s">
        <v>28</v>
      </c>
    </row>
  </sheetData>
  <sheetProtection sheet="1" objects="1" scenarios="1"/>
  <autoFilter ref="A1:D17" xr:uid="{54FD1BC0-98E3-42A6-90EA-C977FC88E538}"/>
  <sortState xmlns:xlrd2="http://schemas.microsoft.com/office/spreadsheetml/2017/richdata2" ref="A2:D9">
    <sortCondition ref="D2:D9" customList="Lunedi,Martedi,Mercoledi,Giovedi,Venerdi,Sabato,Domenica"/>
    <sortCondition ref="C2:C709" customList="HR,HSE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turni</vt:lpstr>
      <vt:lpstr>whatsapp</vt:lpstr>
      <vt:lpstr>riepilogo</vt:lpstr>
      <vt:lpstr>storico</vt:lpstr>
      <vt:lpstr>dati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Giulio</dc:creator>
  <cp:lastModifiedBy>Giulio</cp:lastModifiedBy>
  <dcterms:created xsi:type="dcterms:W3CDTF">2022-04-27T09:14:27Z</dcterms:created>
  <dcterms:modified xsi:type="dcterms:W3CDTF">2022-05-05T21:54:07Z</dcterms:modified>
</cp:coreProperties>
</file>